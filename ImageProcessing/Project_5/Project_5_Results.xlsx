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ageProcessing\Project_5\ignore\"/>
    </mc:Choice>
  </mc:AlternateContent>
  <xr:revisionPtr revIDLastSave="0" documentId="13_ncr:1_{14853A3E-021F-45A2-9961-F280149A122E}" xr6:coauthVersionLast="47" xr6:coauthVersionMax="47" xr10:uidLastSave="{00000000-0000-0000-0000-000000000000}"/>
  <bookViews>
    <workbookView xWindow="24750" yWindow="3000" windowWidth="25815" windowHeight="17445" xr2:uid="{C4042769-E406-49E9-A7AB-E45C69580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E47" i="1"/>
  <c r="D38" i="1"/>
  <c r="E38" i="1"/>
  <c r="C38" i="1"/>
  <c r="B38" i="1"/>
  <c r="E28" i="1"/>
  <c r="D28" i="1"/>
  <c r="C28" i="1"/>
  <c r="B28" i="1"/>
  <c r="E18" i="1"/>
  <c r="D18" i="1"/>
  <c r="C18" i="1"/>
  <c r="B18" i="1"/>
  <c r="E8" i="1"/>
  <c r="B8" i="1"/>
  <c r="C8" i="1"/>
  <c r="D8" i="1"/>
</calcChain>
</file>

<file path=xl/sharedStrings.xml><?xml version="1.0" encoding="utf-8"?>
<sst xmlns="http://schemas.openxmlformats.org/spreadsheetml/2006/main" count="122" uniqueCount="37">
  <si>
    <t>AWGN</t>
  </si>
  <si>
    <t>Impulse</t>
  </si>
  <si>
    <t>PSNR</t>
  </si>
  <si>
    <t>SSIM</t>
  </si>
  <si>
    <t>chat</t>
  </si>
  <si>
    <t>noisy</t>
  </si>
  <si>
    <t>Boat_AWGN</t>
  </si>
  <si>
    <t>Town_AWGN</t>
  </si>
  <si>
    <t>Checker_Impulse</t>
  </si>
  <si>
    <t>Checker_Fixed</t>
  </si>
  <si>
    <t>PNSR</t>
  </si>
  <si>
    <t>CHATGPT</t>
  </si>
  <si>
    <t>Original Values</t>
  </si>
  <si>
    <t>Image</t>
  </si>
  <si>
    <t>PSNR_AWGN</t>
  </si>
  <si>
    <t>SSIM_AWGN</t>
  </si>
  <si>
    <t>PSNR_Impulse</t>
  </si>
  <si>
    <t>SSIM_Impulse</t>
  </si>
  <si>
    <t>airplane.bmp</t>
  </si>
  <si>
    <t>boats.bmp</t>
  </si>
  <si>
    <t>BoatsColor.bmp</t>
  </si>
  <si>
    <t>checkerboard.bmp</t>
  </si>
  <si>
    <t>goldhill.bmp</t>
  </si>
  <si>
    <t>Weiner</t>
  </si>
  <si>
    <t>Median</t>
  </si>
  <si>
    <t>DnCNN</t>
  </si>
  <si>
    <t>Average</t>
  </si>
  <si>
    <t>DRUNet</t>
  </si>
  <si>
    <t>Noisy</t>
  </si>
  <si>
    <t>Impulse SSIM</t>
  </si>
  <si>
    <t>Impulse PSNR</t>
  </si>
  <si>
    <t>AWGN PSNR</t>
  </si>
  <si>
    <t>AWGN SSIM</t>
  </si>
  <si>
    <t>Jet AWGN</t>
  </si>
  <si>
    <t>checker</t>
  </si>
  <si>
    <t>weiner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</si>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</sst>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Sheet1!$I$26</c:f>
              <c:strCache>
                <c:ptCount val="1"/>
                <c:pt idx="0">
                  <c:v>PSNR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Sheet1!$H$27:$H$31</c:f>
              <c:strCache>
                <c:ptCount val="5"/>
                <c:pt idx="0">
                  <c:v>Noisy</c:v>
                </c:pt>
                <c:pt idx="1">
                  <c:v>Weiner</c:v>
                </c:pt>
                <c:pt idx="2">
                  <c:v>Median</c:v>
                </c:pt>
                <c:pt idx="3">
                  <c:v>DRUNet</c:v>
                </c:pt>
                <c:pt idx="4">
                  <c:v>DnCNN</c:v>
                </c:pt>
              </c:strCache>
            </c:strRef>
          </c:cat>
          <c:val>
            <c:numRef>
              <c:f>Sheet1!$I$27:$I$31</c:f>
              <c:numCache>
                <c:formatCode>General</c:formatCode>
                <c:ptCount val="5"/>
                <c:pt idx="0">
                  <c:v>20.346298172173501</c:v>
                </c:pt>
                <c:pt idx="1">
                  <c:v>28.524795501853301</c:v>
                </c:pt>
                <c:pt idx="2">
                  <c:v>26.731974008426199</c:v>
                </c:pt>
                <c:pt idx="3">
                  <c:v>33.238243189494803</c:v>
                </c:pt>
                <c:pt idx="4">
                  <c:v>30.915245228448001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2-42D2-B1C8-5F25FBC6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131232"/>
        <c:axId val="475118752"/>
      </c:barChart>
      <c:catAx>
        <c:axId val="47513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18752"/>
        <c:crosses val="autoZero"/>
        <c:auto val="1"/>
        <c:lblAlgn val="ctr"/>
        <c:lblOffset val="100"/>
        <c:noMultiLvlLbl val="0"/>
      </c:catAx>
      <c:valAx>
        <c:axId val="4751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3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Sheet1!$J$26</c:f>
              <c:strCache>
                <c:ptCount val="1"/>
                <c:pt idx="0">
                  <c:v>SSIM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Sheet1!$H$27:$H$31</c:f>
              <c:strCache>
                <c:ptCount val="5"/>
                <c:pt idx="0">
                  <c:v>Noisy</c:v>
                </c:pt>
                <c:pt idx="1">
                  <c:v>Weiner</c:v>
                </c:pt>
                <c:pt idx="2">
                  <c:v>Median</c:v>
                </c:pt>
                <c:pt idx="3">
                  <c:v>DRUNet</c:v>
                </c:pt>
                <c:pt idx="4">
                  <c:v>DnCNN</c:v>
                </c:pt>
              </c:strCache>
            </c:strRef>
          </c:cat>
          <c:val>
            <c:numRef>
              <c:f>Sheet1!$J$27:$J$31</c:f>
              <c:numCache>
                <c:formatCode>General</c:formatCode>
                <c:ptCount val="5"/>
                <c:pt idx="0">
                  <c:v>0.29191855071424599</c:v>
                </c:pt>
                <c:pt idx="1">
                  <c:v>0.75808408963719198</c:v>
                </c:pt>
                <c:pt idx="2">
                  <c:v>0.56284282092376703</c:v>
                </c:pt>
                <c:pt idx="3">
                  <c:v>0.89539527060331703</c:v>
                </c:pt>
                <c:pt idx="4">
                  <c:v>0.83478824367896398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9-42DE-A630-47C69370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125952"/>
        <c:axId val="475117792"/>
      </c:barChart>
      <c:catAx>
        <c:axId val="4751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17792"/>
        <c:crosses val="autoZero"/>
        <c:auto val="1"/>
        <c:lblAlgn val="ctr"/>
        <c:lblOffset val="100"/>
        <c:noMultiLvlLbl val="0"/>
      </c:catAx>
      <c:valAx>
        <c:axId val="4751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Sheet1!$J$46</c:f>
              <c:strCache>
                <c:ptCount val="1"/>
                <c:pt idx="0">
                  <c:v>SSIM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Sheet1!$H$47:$H$50</c:f>
              <c:strCache>
                <c:ptCount val="4"/>
                <c:pt idx="0">
                  <c:v>noisy</c:v>
                </c:pt>
                <c:pt idx="1">
                  <c:v>weiner</c:v>
                </c:pt>
                <c:pt idx="2">
                  <c:v>median</c:v>
                </c:pt>
                <c:pt idx="3">
                  <c:v>DRUNet</c:v>
                </c:pt>
              </c:strCache>
            </c:strRef>
          </c:cat>
          <c:val>
            <c:numRef>
              <c:f>Sheet1!$J$47:$J$50</c:f>
              <c:numCache>
                <c:formatCode>General</c:formatCode>
                <c:ptCount val="4"/>
                <c:pt idx="0">
                  <c:v>0.425810221997661</c:v>
                </c:pt>
                <c:pt idx="1">
                  <c:v>0.489748624427432</c:v>
                </c:pt>
                <c:pt idx="2">
                  <c:v>0.99618591760263597</c:v>
                </c:pt>
                <c:pt idx="3">
                  <c:v>0.4306429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2-4C4E-96F5-4D9618F2E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091872"/>
        <c:axId val="475102912"/>
      </c:barChart>
      <c:catAx>
        <c:axId val="4750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2912"/>
        <c:crosses val="autoZero"/>
        <c:auto val="1"/>
        <c:lblAlgn val="ctr"/>
        <c:lblOffset val="100"/>
        <c:noMultiLvlLbl val="0"/>
      </c:catAx>
      <c:valAx>
        <c:axId val="4751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0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Sheet1!$I$46</c:f>
              <c:strCache>
                <c:ptCount val="1"/>
                <c:pt idx="0">
                  <c:v>PSNR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Sheet1!$H$47:$H$50</c:f>
              <c:strCache>
                <c:ptCount val="4"/>
                <c:pt idx="0">
                  <c:v>noisy</c:v>
                </c:pt>
                <c:pt idx="1">
                  <c:v>weiner</c:v>
                </c:pt>
                <c:pt idx="2">
                  <c:v>median</c:v>
                </c:pt>
                <c:pt idx="3">
                  <c:v>DRUNet</c:v>
                </c:pt>
              </c:strCache>
            </c:strRef>
          </c:cat>
          <c:val>
            <c:numRef>
              <c:f>Sheet1!$I$47:$I$50</c:f>
              <c:numCache>
                <c:formatCode>General</c:formatCode>
                <c:ptCount val="4"/>
                <c:pt idx="0">
                  <c:v>15.9989392957145</c:v>
                </c:pt>
                <c:pt idx="1">
                  <c:v>22.308349195138099</c:v>
                </c:pt>
                <c:pt idx="2">
                  <c:v>31.666934847153001</c:v>
                </c:pt>
                <c:pt idx="3">
                  <c:v>16.411306809999999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F-477F-9E3A-C341DA818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119232"/>
        <c:axId val="475125472"/>
      </c:barChart>
      <c:catAx>
        <c:axId val="4751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25472"/>
        <c:crosses val="autoZero"/>
        <c:auto val="1"/>
        <c:lblAlgn val="ctr"/>
        <c:lblOffset val="100"/>
        <c:noMultiLvlLbl val="0"/>
      </c:catAx>
      <c:valAx>
        <c:axId val="4751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461962</xdr:colOff>
      <xdr:row>19</xdr:row>
      <xdr:rowOff>147637</xdr:rowOff>
    </xdr:from>
    <xdr:to>
      <xdr:col>19</xdr:col>
      <xdr:colOff>157162</xdr:colOff>
      <xdr:row>34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64BE0-B759-4002-5701-C67768798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385762</xdr:colOff>
      <xdr:row>20</xdr:row>
      <xdr:rowOff>4762</xdr:rowOff>
    </xdr:from>
    <xdr:to>
      <xdr:col>11</xdr:col>
      <xdr:colOff>395287</xdr:colOff>
      <xdr:row>34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FCFB6-DA88-B129-013B-ABA95B815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528637</xdr:colOff>
      <xdr:row>39</xdr:row>
      <xdr:rowOff>100012</xdr:rowOff>
    </xdr:from>
    <xdr:to>
      <xdr:col>19</xdr:col>
      <xdr:colOff>223837</xdr:colOff>
      <xdr:row>53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D100F6-D295-FF1D-6493-A8ADE4713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481012</xdr:colOff>
      <xdr:row>40</xdr:row>
      <xdr:rowOff>185737</xdr:rowOff>
    </xdr:from>
    <xdr:to>
      <xdr:col>11</xdr:col>
      <xdr:colOff>490537</xdr:colOff>
      <xdr:row>55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2A3DD4-E514-B290-35CF-57E81DA4F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A2F7-CF25-45E4-89FE-DD64B7FD67C6}">
  <dimension ref="A1:T50"/>
  <sheetViews>
    <sheetView tabSelected="1" workbookViewId="0">
      <selection activeCell="D4" sqref="D4:E4"/>
    </sheetView>
  </sheetViews>
  <sheetFormatPr defaultRowHeight="15" x14ac:dyDescent="0.25"/>
  <cols>
    <col min="1" max="1" width="18" bestFit="1" customWidth="1"/>
    <col min="2" max="2" width="12.140625" bestFit="1" customWidth="1"/>
    <col min="3" max="3" width="12" bestFit="1" customWidth="1"/>
    <col min="4" max="4" width="13.85546875" bestFit="1" customWidth="1"/>
    <col min="5" max="5" width="13.28515625" bestFit="1" customWidth="1"/>
    <col min="8" max="8" width="12" bestFit="1" customWidth="1"/>
    <col min="9" max="9" width="13.42578125" bestFit="1" customWidth="1"/>
    <col min="10" max="10" width="12.7109375" bestFit="1" customWidth="1"/>
    <col min="11" max="11" width="12" bestFit="1" customWidth="1"/>
  </cols>
  <sheetData>
    <row r="1" spans="1:20" x14ac:dyDescent="0.25">
      <c r="A1" t="s">
        <v>12</v>
      </c>
    </row>
    <row r="2" spans="1:20" x14ac:dyDescent="0.25">
      <c r="A2" t="s">
        <v>13</v>
      </c>
      <c r="B2" t="s">
        <v>16</v>
      </c>
      <c r="C2" t="s">
        <v>17</v>
      </c>
      <c r="D2" t="s">
        <v>14</v>
      </c>
      <c r="E2" t="s">
        <v>15</v>
      </c>
      <c r="R2" t="s">
        <v>11</v>
      </c>
    </row>
    <row r="3" spans="1:20" x14ac:dyDescent="0.25">
      <c r="A3" t="s">
        <v>18</v>
      </c>
      <c r="B3">
        <v>17.8520967086158</v>
      </c>
      <c r="C3">
        <v>0.34855148869684599</v>
      </c>
      <c r="D3">
        <v>20.346298172173501</v>
      </c>
      <c r="E3">
        <v>0.29191855071424599</v>
      </c>
      <c r="M3" t="s">
        <v>0</v>
      </c>
      <c r="N3" t="s">
        <v>1</v>
      </c>
      <c r="R3" t="s">
        <v>6</v>
      </c>
      <c r="S3" t="s">
        <v>2</v>
      </c>
      <c r="T3" t="s">
        <v>3</v>
      </c>
    </row>
    <row r="4" spans="1:20" x14ac:dyDescent="0.25">
      <c r="A4" t="s">
        <v>19</v>
      </c>
      <c r="B4">
        <v>18.381647082139398</v>
      </c>
      <c r="C4">
        <v>0.34884339485240601</v>
      </c>
      <c r="D4">
        <v>20.379101175795</v>
      </c>
      <c r="E4">
        <v>0.320259779306521</v>
      </c>
      <c r="L4" t="s">
        <v>2</v>
      </c>
      <c r="M4">
        <v>20.4983</v>
      </c>
      <c r="N4">
        <v>18.165299999999998</v>
      </c>
      <c r="R4" t="s">
        <v>5</v>
      </c>
      <c r="S4">
        <v>20.34</v>
      </c>
      <c r="T4">
        <v>0.31790000000000002</v>
      </c>
    </row>
    <row r="5" spans="1:20" x14ac:dyDescent="0.25">
      <c r="A5" t="s">
        <v>20</v>
      </c>
      <c r="B5">
        <v>18.159193377245199</v>
      </c>
      <c r="C5">
        <v>0.36642023650994499</v>
      </c>
      <c r="D5">
        <v>20.498405328251302</v>
      </c>
      <c r="E5">
        <v>0.33564811734719402</v>
      </c>
      <c r="L5" t="s">
        <v>3</v>
      </c>
      <c r="M5">
        <v>0.33550000000000002</v>
      </c>
      <c r="N5">
        <v>0.36830000000000002</v>
      </c>
      <c r="R5" t="s">
        <v>4</v>
      </c>
      <c r="S5">
        <v>12.91</v>
      </c>
      <c r="T5">
        <v>0.33189999999999997</v>
      </c>
    </row>
    <row r="6" spans="1:20" x14ac:dyDescent="0.25">
      <c r="A6" t="s">
        <v>21</v>
      </c>
      <c r="B6">
        <v>15.9989392957145</v>
      </c>
      <c r="C6">
        <v>0.425810221997661</v>
      </c>
      <c r="D6">
        <v>23.146179253573099</v>
      </c>
      <c r="E6">
        <v>0.29437421153433602</v>
      </c>
    </row>
    <row r="7" spans="1:20" x14ac:dyDescent="0.25">
      <c r="A7" t="s">
        <v>22</v>
      </c>
      <c r="B7">
        <v>18.0143005196282</v>
      </c>
      <c r="C7">
        <v>0.37797965190202498</v>
      </c>
      <c r="D7">
        <v>20.4724763881011</v>
      </c>
      <c r="E7">
        <v>0.34086881742643299</v>
      </c>
      <c r="R7" t="s">
        <v>7</v>
      </c>
      <c r="S7" t="s">
        <v>2</v>
      </c>
      <c r="T7" t="s">
        <v>3</v>
      </c>
    </row>
    <row r="8" spans="1:20" x14ac:dyDescent="0.25">
      <c r="A8" s="1" t="s">
        <v>26</v>
      </c>
      <c r="B8" s="1">
        <f>AVERAGE(B3:B7)</f>
        <v>17.681235396668619</v>
      </c>
      <c r="C8" s="1">
        <f>AVERAGE(C3:C7)</f>
        <v>0.37352099879177658</v>
      </c>
      <c r="D8" s="1">
        <f>AVERAGE(D3:D7)</f>
        <v>20.9684920635788</v>
      </c>
      <c r="E8" s="1">
        <f>AVERAGE(E3:E7)</f>
        <v>0.31661389526574601</v>
      </c>
      <c r="R8" t="s">
        <v>5</v>
      </c>
      <c r="S8">
        <v>20.46</v>
      </c>
      <c r="T8">
        <v>0.34010000000000001</v>
      </c>
    </row>
    <row r="9" spans="1:20" x14ac:dyDescent="0.25">
      <c r="R9" t="s">
        <v>4</v>
      </c>
      <c r="S9">
        <v>14.79</v>
      </c>
      <c r="T9">
        <v>0.16739999999999999</v>
      </c>
    </row>
    <row r="11" spans="1:20" x14ac:dyDescent="0.25">
      <c r="A11" t="s">
        <v>23</v>
      </c>
      <c r="B11" t="s">
        <v>1</v>
      </c>
      <c r="D11" t="s">
        <v>0</v>
      </c>
      <c r="H11" t="s">
        <v>26</v>
      </c>
      <c r="I11" t="s">
        <v>30</v>
      </c>
      <c r="J11" t="s">
        <v>29</v>
      </c>
      <c r="K11" t="s">
        <v>31</v>
      </c>
      <c r="L11" t="s">
        <v>32</v>
      </c>
      <c r="R11" t="s">
        <v>8</v>
      </c>
      <c r="S11" t="s">
        <v>2</v>
      </c>
      <c r="T11" t="s">
        <v>3</v>
      </c>
    </row>
    <row r="12" spans="1:20" x14ac:dyDescent="0.25">
      <c r="A12" t="s">
        <v>13</v>
      </c>
      <c r="B12" t="s">
        <v>2</v>
      </c>
      <c r="C12" t="s">
        <v>3</v>
      </c>
      <c r="D12" t="s">
        <v>2</v>
      </c>
      <c r="E12" t="s">
        <v>3</v>
      </c>
      <c r="H12" t="s">
        <v>28</v>
      </c>
      <c r="I12">
        <v>20.9684920635788</v>
      </c>
      <c r="J12">
        <v>0.31661389526574601</v>
      </c>
      <c r="K12">
        <v>17.681235396668619</v>
      </c>
      <c r="L12">
        <v>0.37352099879177658</v>
      </c>
      <c r="R12" t="s">
        <v>5</v>
      </c>
      <c r="S12">
        <v>16.09</v>
      </c>
      <c r="T12">
        <v>0.43120000000000003</v>
      </c>
    </row>
    <row r="13" spans="1:20" x14ac:dyDescent="0.25">
      <c r="A13" t="s">
        <v>18</v>
      </c>
      <c r="B13">
        <v>23.1498774348096</v>
      </c>
      <c r="C13">
        <v>0.54681077986562798</v>
      </c>
      <c r="D13">
        <v>28.524795501853301</v>
      </c>
      <c r="E13">
        <v>0.75808408963719198</v>
      </c>
      <c r="H13" t="s">
        <v>23</v>
      </c>
      <c r="I13">
        <v>23.024657508703136</v>
      </c>
      <c r="J13">
        <v>0.53403402865039207</v>
      </c>
      <c r="K13">
        <v>27.640416293100639</v>
      </c>
      <c r="L13">
        <v>0.69089922432105377</v>
      </c>
      <c r="R13" t="s">
        <v>4</v>
      </c>
      <c r="S13">
        <v>0.03</v>
      </c>
      <c r="T13">
        <v>-0.14000000000000001</v>
      </c>
    </row>
    <row r="14" spans="1:20" x14ac:dyDescent="0.25">
      <c r="A14" t="s">
        <v>19</v>
      </c>
      <c r="B14">
        <v>23.6650258488567</v>
      </c>
      <c r="C14">
        <v>0.56431669489477199</v>
      </c>
      <c r="D14">
        <v>28.283497865132599</v>
      </c>
      <c r="E14">
        <v>0.73692349302156102</v>
      </c>
      <c r="H14" t="s">
        <v>24</v>
      </c>
      <c r="I14">
        <v>32.635429948729914</v>
      </c>
      <c r="J14">
        <v>0.93253011656631557</v>
      </c>
      <c r="K14">
        <v>27.116009942968702</v>
      </c>
      <c r="L14">
        <v>0.57655494551501218</v>
      </c>
    </row>
    <row r="15" spans="1:20" x14ac:dyDescent="0.25">
      <c r="A15" t="s">
        <v>20</v>
      </c>
      <c r="B15">
        <v>23.229146804782101</v>
      </c>
      <c r="C15">
        <v>0.57141211242643397</v>
      </c>
      <c r="D15">
        <v>27.8337852340895</v>
      </c>
      <c r="E15">
        <v>0.71079586463394495</v>
      </c>
      <c r="H15" t="s">
        <v>27</v>
      </c>
      <c r="I15">
        <v>22.671275300000001</v>
      </c>
      <c r="J15">
        <v>0.51539283666666658</v>
      </c>
      <c r="K15">
        <v>32.231105748828966</v>
      </c>
      <c r="L15">
        <v>0.85582560577619005</v>
      </c>
      <c r="R15" t="s">
        <v>9</v>
      </c>
      <c r="S15" t="s">
        <v>10</v>
      </c>
      <c r="T15" t="s">
        <v>3</v>
      </c>
    </row>
    <row r="16" spans="1:20" x14ac:dyDescent="0.25">
      <c r="A16" t="s">
        <v>21</v>
      </c>
      <c r="B16">
        <v>22.308349195138099</v>
      </c>
      <c r="C16">
        <v>0.489748624427432</v>
      </c>
      <c r="D16">
        <v>25.614707445801599</v>
      </c>
      <c r="E16">
        <v>0.56090132005942295</v>
      </c>
      <c r="H16" t="s">
        <v>25</v>
      </c>
      <c r="K16">
        <v>29.72576102789812</v>
      </c>
      <c r="L16">
        <v>0.75918042872658698</v>
      </c>
      <c r="R16" t="s">
        <v>5</v>
      </c>
      <c r="S16">
        <v>16.09</v>
      </c>
      <c r="T16">
        <v>0.43120000000000003</v>
      </c>
    </row>
    <row r="17" spans="1:20" x14ac:dyDescent="0.25">
      <c r="A17" t="s">
        <v>22</v>
      </c>
      <c r="B17">
        <v>22.770888259929201</v>
      </c>
      <c r="C17">
        <v>0.49788193163769401</v>
      </c>
      <c r="D17">
        <v>27.945295418626198</v>
      </c>
      <c r="E17">
        <v>0.68779135425314797</v>
      </c>
      <c r="R17" t="s">
        <v>4</v>
      </c>
      <c r="S17">
        <v>45.93</v>
      </c>
      <c r="T17">
        <v>0.86839999999999995</v>
      </c>
    </row>
    <row r="18" spans="1:20" x14ac:dyDescent="0.25">
      <c r="A18" s="1" t="s">
        <v>26</v>
      </c>
      <c r="B18" s="1">
        <f>AVERAGE(B13:B17)</f>
        <v>23.024657508703136</v>
      </c>
      <c r="C18" s="1">
        <f t="shared" ref="C18" si="0">AVERAGE(C13:C17)</f>
        <v>0.53403402865039207</v>
      </c>
      <c r="D18" s="1">
        <f t="shared" ref="D18" si="1">AVERAGE(D13:D17)</f>
        <v>27.640416293100639</v>
      </c>
      <c r="E18" s="1">
        <f t="shared" ref="E18" si="2">AVERAGE(E13:E17)</f>
        <v>0.69089922432105377</v>
      </c>
      <c r="H18" t="s">
        <v>34</v>
      </c>
      <c r="I18" t="s">
        <v>2</v>
      </c>
      <c r="J18" t="s">
        <v>3</v>
      </c>
    </row>
    <row r="19" spans="1:20" x14ac:dyDescent="0.25">
      <c r="H19" t="s">
        <v>28</v>
      </c>
      <c r="I19">
        <v>23.146179253573099</v>
      </c>
      <c r="J19">
        <v>0.29437421153433602</v>
      </c>
    </row>
    <row r="20" spans="1:20" x14ac:dyDescent="0.25">
      <c r="H20" t="s">
        <v>23</v>
      </c>
      <c r="I20">
        <v>25.614707445801599</v>
      </c>
      <c r="J20">
        <v>0.56090132005942295</v>
      </c>
    </row>
    <row r="21" spans="1:20" x14ac:dyDescent="0.25">
      <c r="A21" t="s">
        <v>24</v>
      </c>
      <c r="B21" t="s">
        <v>1</v>
      </c>
      <c r="D21" t="s">
        <v>0</v>
      </c>
      <c r="H21" t="s">
        <v>24</v>
      </c>
      <c r="I21">
        <v>29.161700343209599</v>
      </c>
      <c r="J21">
        <v>0.56720610712035502</v>
      </c>
    </row>
    <row r="22" spans="1:20" x14ac:dyDescent="0.25">
      <c r="A22" t="s">
        <v>13</v>
      </c>
      <c r="B22" t="s">
        <v>2</v>
      </c>
      <c r="C22" t="s">
        <v>3</v>
      </c>
      <c r="D22" t="s">
        <v>2</v>
      </c>
      <c r="E22" t="s">
        <v>3</v>
      </c>
      <c r="H22" t="s">
        <v>27</v>
      </c>
      <c r="I22">
        <v>27.752241638799699</v>
      </c>
      <c r="J22">
        <v>0.62484218710077999</v>
      </c>
    </row>
    <row r="23" spans="1:20" x14ac:dyDescent="0.25">
      <c r="A23" t="s">
        <v>18</v>
      </c>
      <c r="B23">
        <v>33.447164036472003</v>
      </c>
      <c r="C23">
        <v>0.93938149492603995</v>
      </c>
      <c r="D23">
        <v>26.731974008426199</v>
      </c>
      <c r="E23">
        <v>0.56284282092376703</v>
      </c>
      <c r="H23" t="s">
        <v>25</v>
      </c>
      <c r="I23">
        <v>30.718800000000002</v>
      </c>
      <c r="J23">
        <v>8.3286999999999995</v>
      </c>
    </row>
    <row r="24" spans="1:20" x14ac:dyDescent="0.25">
      <c r="A24" t="s">
        <v>19</v>
      </c>
      <c r="B24">
        <v>33.150967227520802</v>
      </c>
      <c r="C24">
        <v>0.92977316235590302</v>
      </c>
      <c r="D24">
        <v>26.638383663972</v>
      </c>
      <c r="E24">
        <v>0.57998243595419197</v>
      </c>
    </row>
    <row r="25" spans="1:20" x14ac:dyDescent="0.25">
      <c r="A25" t="s">
        <v>20</v>
      </c>
      <c r="B25">
        <v>33.483844914101297</v>
      </c>
      <c r="C25">
        <v>0.93925931176905697</v>
      </c>
      <c r="D25">
        <v>26.865788411213899</v>
      </c>
      <c r="E25">
        <v>0.601127006830109</v>
      </c>
    </row>
    <row r="26" spans="1:20" x14ac:dyDescent="0.25">
      <c r="A26" t="s">
        <v>21</v>
      </c>
      <c r="B26">
        <v>31.666934847153001</v>
      </c>
      <c r="C26">
        <v>0.99618591760263597</v>
      </c>
      <c r="D26">
        <v>29.161700343209599</v>
      </c>
      <c r="E26">
        <v>0.56720610712035502</v>
      </c>
      <c r="H26" t="s">
        <v>33</v>
      </c>
      <c r="I26" t="s">
        <v>2</v>
      </c>
      <c r="J26" t="s">
        <v>3</v>
      </c>
    </row>
    <row r="27" spans="1:20" x14ac:dyDescent="0.25">
      <c r="A27" t="s">
        <v>22</v>
      </c>
      <c r="B27">
        <v>31.4282387184025</v>
      </c>
      <c r="C27">
        <v>0.85805069617794105</v>
      </c>
      <c r="D27">
        <v>26.1822032880218</v>
      </c>
      <c r="E27">
        <v>0.57161635674663802</v>
      </c>
      <c r="H27" t="s">
        <v>28</v>
      </c>
      <c r="I27">
        <v>20.346298172173501</v>
      </c>
      <c r="J27">
        <v>0.29191855071424599</v>
      </c>
    </row>
    <row r="28" spans="1:20" x14ac:dyDescent="0.25">
      <c r="A28" s="1" t="s">
        <v>26</v>
      </c>
      <c r="B28" s="1">
        <f>AVERAGE(B23:B27)</f>
        <v>32.635429948729914</v>
      </c>
      <c r="C28" s="1">
        <f t="shared" ref="C28" si="3">AVERAGE(C23:C27)</f>
        <v>0.93253011656631557</v>
      </c>
      <c r="D28" s="1">
        <f t="shared" ref="D28" si="4">AVERAGE(D23:D27)</f>
        <v>27.116009942968702</v>
      </c>
      <c r="E28" s="1">
        <f t="shared" ref="E28" si="5">AVERAGE(E23:E27)</f>
        <v>0.57655494551501218</v>
      </c>
      <c r="H28" t="s">
        <v>23</v>
      </c>
      <c r="I28">
        <v>28.524795501853301</v>
      </c>
      <c r="J28">
        <v>0.75808408963719198</v>
      </c>
    </row>
    <row r="29" spans="1:20" x14ac:dyDescent="0.25">
      <c r="H29" t="s">
        <v>24</v>
      </c>
      <c r="I29">
        <v>26.731974008426199</v>
      </c>
      <c r="J29">
        <v>0.56284282092376703</v>
      </c>
    </row>
    <row r="30" spans="1:20" x14ac:dyDescent="0.25">
      <c r="H30" t="s">
        <v>27</v>
      </c>
      <c r="I30">
        <v>33.238243189494803</v>
      </c>
      <c r="J30">
        <v>0.89539527060331703</v>
      </c>
    </row>
    <row r="31" spans="1:20" x14ac:dyDescent="0.25">
      <c r="A31" t="s">
        <v>27</v>
      </c>
      <c r="B31" t="s">
        <v>1</v>
      </c>
      <c r="D31" t="s">
        <v>0</v>
      </c>
      <c r="H31" t="s">
        <v>25</v>
      </c>
      <c r="I31">
        <v>30.915245228448001</v>
      </c>
      <c r="J31">
        <v>0.83478824367896398</v>
      </c>
    </row>
    <row r="32" spans="1:20" x14ac:dyDescent="0.25">
      <c r="A32" t="s">
        <v>13</v>
      </c>
      <c r="B32" t="s">
        <v>2</v>
      </c>
      <c r="C32" t="s">
        <v>3</v>
      </c>
      <c r="D32" t="s">
        <v>2</v>
      </c>
      <c r="E32" t="s">
        <v>3</v>
      </c>
    </row>
    <row r="33" spans="1:14" x14ac:dyDescent="0.25">
      <c r="A33" t="s">
        <v>18</v>
      </c>
      <c r="B33">
        <v>22.321172990000001</v>
      </c>
      <c r="C33">
        <v>0.47935222</v>
      </c>
      <c r="D33">
        <v>33.238243189494803</v>
      </c>
      <c r="E33">
        <v>0.89539527060331703</v>
      </c>
    </row>
    <row r="35" spans="1:14" x14ac:dyDescent="0.25">
      <c r="A35" t="s">
        <v>20</v>
      </c>
      <c r="B35">
        <v>23.035221289999999</v>
      </c>
      <c r="C35">
        <v>0.57524361700000004</v>
      </c>
      <c r="D35">
        <v>32.437598538550198</v>
      </c>
      <c r="E35">
        <v>0.86643143832509795</v>
      </c>
    </row>
    <row r="37" spans="1:14" x14ac:dyDescent="0.25">
      <c r="A37" t="s">
        <v>22</v>
      </c>
      <c r="B37">
        <v>22.657431620000001</v>
      </c>
      <c r="C37">
        <v>0.49158267300000003</v>
      </c>
      <c r="D37">
        <v>31.017475518441898</v>
      </c>
      <c r="E37">
        <v>0.80565010840015505</v>
      </c>
    </row>
    <row r="38" spans="1:14" x14ac:dyDescent="0.25">
      <c r="A38" s="1" t="s">
        <v>26</v>
      </c>
      <c r="B38" s="1">
        <f>AVERAGE(B33:B37)</f>
        <v>22.671275300000001</v>
      </c>
      <c r="C38" s="1">
        <f t="shared" ref="C38" si="6">AVERAGE(C33:C37)</f>
        <v>0.51539283666666658</v>
      </c>
      <c r="D38" s="1">
        <f t="shared" ref="D38" si="7">AVERAGE(D33:D37)</f>
        <v>32.231105748828966</v>
      </c>
      <c r="E38" s="1">
        <f t="shared" ref="E38" si="8">AVERAGE(E33:E37)</f>
        <v>0.85582560577619005</v>
      </c>
      <c r="J38" t="s">
        <v>19</v>
      </c>
      <c r="K38">
        <v>19.54882426</v>
      </c>
      <c r="L38">
        <v>0.37936567999999998</v>
      </c>
      <c r="M38">
        <v>25.1342602203243</v>
      </c>
      <c r="N38">
        <v>0.50905179427861003</v>
      </c>
    </row>
    <row r="39" spans="1:14" x14ac:dyDescent="0.25">
      <c r="J39" t="s">
        <v>21</v>
      </c>
      <c r="K39">
        <v>16.411306809999999</v>
      </c>
      <c r="L39">
        <v>0.4306429</v>
      </c>
      <c r="M39">
        <v>27.752241638799699</v>
      </c>
      <c r="N39">
        <v>0.62484218710077999</v>
      </c>
    </row>
    <row r="40" spans="1:14" x14ac:dyDescent="0.25">
      <c r="A40" t="s">
        <v>25</v>
      </c>
      <c r="D40" t="s">
        <v>0</v>
      </c>
    </row>
    <row r="41" spans="1:14" x14ac:dyDescent="0.25">
      <c r="A41" t="s">
        <v>13</v>
      </c>
      <c r="D41" t="s">
        <v>2</v>
      </c>
      <c r="E41" t="s">
        <v>3</v>
      </c>
    </row>
    <row r="42" spans="1:14" x14ac:dyDescent="0.25">
      <c r="A42" t="s">
        <v>18</v>
      </c>
      <c r="D42">
        <v>30.915245228448001</v>
      </c>
      <c r="E42">
        <v>0.83478824367896398</v>
      </c>
    </row>
    <row r="43" spans="1:14" x14ac:dyDescent="0.25">
      <c r="A43" t="s">
        <v>19</v>
      </c>
      <c r="D43">
        <v>30.739851642105599</v>
      </c>
      <c r="E43">
        <v>0.83285914108520798</v>
      </c>
    </row>
    <row r="44" spans="1:14" x14ac:dyDescent="0.25">
      <c r="A44" t="s">
        <v>20</v>
      </c>
      <c r="D44">
        <v>30.0178512106963</v>
      </c>
      <c r="E44">
        <v>0.79616724213342105</v>
      </c>
    </row>
    <row r="45" spans="1:14" x14ac:dyDescent="0.25">
      <c r="A45" t="s">
        <v>21</v>
      </c>
      <c r="D45">
        <v>27.484464431357399</v>
      </c>
      <c r="E45">
        <v>0.57812426763222002</v>
      </c>
    </row>
    <row r="46" spans="1:14" x14ac:dyDescent="0.25">
      <c r="A46" t="s">
        <v>22</v>
      </c>
      <c r="D46">
        <v>29.471392626883301</v>
      </c>
      <c r="E46">
        <v>0.75396324910312196</v>
      </c>
      <c r="I46" t="s">
        <v>2</v>
      </c>
      <c r="J46" t="s">
        <v>3</v>
      </c>
    </row>
    <row r="47" spans="1:14" x14ac:dyDescent="0.25">
      <c r="A47" t="s">
        <v>26</v>
      </c>
      <c r="D47">
        <f>AVERAGE(D42:D46)</f>
        <v>29.72576102789812</v>
      </c>
      <c r="E47">
        <f>AVERAGE(E42:E46)</f>
        <v>0.75918042872658698</v>
      </c>
      <c r="H47" t="s">
        <v>5</v>
      </c>
      <c r="I47">
        <v>15.9989392957145</v>
      </c>
      <c r="J47">
        <v>0.425810221997661</v>
      </c>
    </row>
    <row r="48" spans="1:14" x14ac:dyDescent="0.25">
      <c r="H48" t="s">
        <v>35</v>
      </c>
      <c r="I48">
        <v>22.308349195138099</v>
      </c>
      <c r="J48">
        <v>0.489748624427432</v>
      </c>
    </row>
    <row r="49" spans="8:10" x14ac:dyDescent="0.25">
      <c r="H49" t="s">
        <v>36</v>
      </c>
      <c r="I49">
        <v>31.666934847153001</v>
      </c>
      <c r="J49">
        <v>0.99618591760263597</v>
      </c>
    </row>
    <row r="50" spans="8:10" x14ac:dyDescent="0.25">
      <c r="H50" t="s">
        <v>27</v>
      </c>
      <c r="I50">
        <v>16.411306809999999</v>
      </c>
      <c r="J50">
        <v>0.4306429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Bartley</dc:creator>
  <cp:lastModifiedBy>Nathan Bartley</cp:lastModifiedBy>
  <dcterms:created xsi:type="dcterms:W3CDTF">2025-12-03T21:10:40Z</dcterms:created>
  <dcterms:modified xsi:type="dcterms:W3CDTF">2025-12-04T21:32:38Z</dcterms:modified>
</cp:coreProperties>
</file>